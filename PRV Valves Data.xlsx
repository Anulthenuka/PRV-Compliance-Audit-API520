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sasan\Downloads\"/>
    </mc:Choice>
  </mc:AlternateContent>
  <xr:revisionPtr revIDLastSave="0" documentId="8_{EEA44844-75B3-2342-B76C-D7384EF320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2" i="1" l="1"/>
  <c r="M3" i="1"/>
  <c r="M4" i="1"/>
  <c r="N8" i="1"/>
  <c r="N9" i="1"/>
  <c r="N3" i="1"/>
  <c r="N4" i="1"/>
  <c r="N5" i="1"/>
  <c r="N6" i="1"/>
  <c r="N13" i="1"/>
  <c r="N14" i="1"/>
  <c r="N15" i="1"/>
  <c r="N16" i="1"/>
  <c r="N17" i="1"/>
  <c r="N18" i="1"/>
  <c r="M16" i="1"/>
  <c r="M17" i="1"/>
  <c r="M18" i="1"/>
  <c r="M6" i="1"/>
  <c r="M9" i="1"/>
  <c r="M10" i="1"/>
  <c r="M11" i="1"/>
  <c r="N11" i="1"/>
  <c r="N12" i="1"/>
  <c r="N10" i="1"/>
  <c r="N7" i="1"/>
  <c r="M8" i="1"/>
  <c r="M13" i="1"/>
  <c r="M14" i="1"/>
  <c r="M15" i="1"/>
  <c r="M7" i="1"/>
  <c r="M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18" authorId="0" shapeId="0" xr:uid="{8B066547-1AFA-462F-9730-8B990E60E483}">
      <text>
        <r>
          <rPr>
            <sz val="10"/>
            <color rgb="FF000000"/>
            <rFont val="Calibri"/>
            <family val="2"/>
            <scheme val="minor"/>
          </rPr>
          <t>Cold Differential Test Pressure (CDTP) -26.68MPa
	-EA Turbine unit 02</t>
        </r>
      </text>
    </comment>
  </commentList>
</comments>
</file>

<file path=xl/sharedStrings.xml><?xml version="1.0" encoding="utf-8"?>
<sst xmlns="http://schemas.openxmlformats.org/spreadsheetml/2006/main" count="101" uniqueCount="75">
  <si>
    <t>Water</t>
  </si>
  <si>
    <t>Air/steam</t>
  </si>
  <si>
    <t>Air/water</t>
  </si>
  <si>
    <t>Air/Demin water</t>
  </si>
  <si>
    <t>Air/Sea water</t>
  </si>
  <si>
    <t>Air/Steam</t>
  </si>
  <si>
    <t>Air/Water</t>
  </si>
  <si>
    <t>Steam</t>
  </si>
  <si>
    <t>Serial No.</t>
  </si>
  <si>
    <t>Description</t>
  </si>
  <si>
    <t>Valve Identification details (Model,etc.)</t>
  </si>
  <si>
    <t>Location / Main Equipment</t>
  </si>
  <si>
    <t>Nominal Diameter (mm)</t>
  </si>
  <si>
    <t>Set Pressure (MPa)</t>
  </si>
  <si>
    <t>Temperature (C)</t>
  </si>
  <si>
    <t>Medium</t>
  </si>
  <si>
    <t>Total Nos. of Safety valves</t>
  </si>
  <si>
    <t>BFP booster pump inlet line safety valves</t>
  </si>
  <si>
    <t>A 41H -25</t>
  </si>
  <si>
    <t>0 m level / 6.3m level</t>
  </si>
  <si>
    <t>&lt;300</t>
  </si>
  <si>
    <t>Gland steam line safety valves (LP turbine side)</t>
  </si>
  <si>
    <t>A 48Y-16C</t>
  </si>
  <si>
    <t>6.3 M legve / Near Jacking oil pumps</t>
  </si>
  <si>
    <t>LP heater 8/7 vent line safety valve</t>
  </si>
  <si>
    <t>A 41H- 40</t>
  </si>
  <si>
    <t>6.3 m level / LP heaters 8/7</t>
  </si>
  <si>
    <t>LP heater 6 vent line safety valve</t>
  </si>
  <si>
    <t>A 41H -40</t>
  </si>
  <si>
    <t>6.3 m level / LP heaters 6</t>
  </si>
  <si>
    <t>HP heater 3 safety valve</t>
  </si>
  <si>
    <t>A 48Y-4</t>
  </si>
  <si>
    <t>6.3 m level / HP heater 3</t>
  </si>
  <si>
    <t>LP heater 6 safety valve</t>
  </si>
  <si>
    <t>A47H-16C</t>
  </si>
  <si>
    <t>6.3 m level / LP heater6</t>
  </si>
  <si>
    <t>Condensate extraction pump inlet safety valves</t>
  </si>
  <si>
    <t>A 42 Y-16C</t>
  </si>
  <si>
    <t>0 m level / Condensate Extraction system</t>
  </si>
  <si>
    <t>CCCW heat Exchanger(Demin side)</t>
  </si>
  <si>
    <t>A 47H-16C</t>
  </si>
  <si>
    <t>0 m level / CCCW Heat Exchangers</t>
  </si>
  <si>
    <t>&lt;425</t>
  </si>
  <si>
    <t>CCCW heat Exchange (sea water side)</t>
  </si>
  <si>
    <t>A 47 H-16P</t>
  </si>
  <si>
    <t>&lt;200</t>
  </si>
  <si>
    <t xml:space="preserve"> LP Heater 5 safety valve</t>
  </si>
  <si>
    <t>A 47 H -16C</t>
  </si>
  <si>
    <t>12.6 m level / LP heater 05</t>
  </si>
  <si>
    <t>LPH 5 Vent safety valve</t>
  </si>
  <si>
    <t>A 41 H - 40</t>
  </si>
  <si>
    <t>HP Heater  2 safety valve</t>
  </si>
  <si>
    <t>A 48 Y - 3</t>
  </si>
  <si>
    <t>12.6 m level / HP heater 02</t>
  </si>
  <si>
    <t>HP Heater 1 safety valve</t>
  </si>
  <si>
    <t>A 48 Y -10</t>
  </si>
  <si>
    <t>Auxiliary Header safety valve</t>
  </si>
  <si>
    <t>A 48 Y -25</t>
  </si>
  <si>
    <t>16.6 m level / Auxiliary header</t>
  </si>
  <si>
    <t>250/300</t>
  </si>
  <si>
    <t>Deaerator Tank and Deaerator</t>
  </si>
  <si>
    <t>18.9 m level / Deaerator</t>
  </si>
  <si>
    <t>150/200</t>
  </si>
  <si>
    <t>HP heater 03 Feed water inlet safety valve</t>
  </si>
  <si>
    <t xml:space="preserve">Upper area CCCW pumps </t>
  </si>
  <si>
    <t>Design Pressure of vessle / Mpa</t>
  </si>
  <si>
    <t>Discharge method</t>
  </si>
  <si>
    <t>atmosphere</t>
  </si>
  <si>
    <t xml:space="preserve">  </t>
  </si>
  <si>
    <t>12.6 m level / HP heater 01</t>
  </si>
  <si>
    <t>back pressure 10%</t>
  </si>
  <si>
    <t>valve Outlet pressure Mpa</t>
  </si>
  <si>
    <t xml:space="preserve">atmosphere </t>
  </si>
  <si>
    <t>working pressure 42kpa</t>
  </si>
  <si>
    <t>working pressure 0.15Mpa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</si>
</sst>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0" fillId="0" borderId="2" xfId="0" applyBorder="1"/>
    <xf numFmtId="2" fontId="0" fillId="0" borderId="0" xfId="0" applyNumberFormat="1"/>
    <xf numFmtId="2" fontId="0" fillId="0" borderId="2" xfId="0" applyNumberFormat="1" applyBorder="1"/>
    <xf numFmtId="0" fontId="1" fillId="0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vertical="center" wrapText="1"/>
    </xf>
    <xf numFmtId="0" fontId="1" fillId="0" borderId="2" xfId="0" applyFont="1" applyFill="1" applyBorder="1" applyAlignment="1">
      <alignment vertical="center"/>
    </xf>
    <xf numFmtId="0" fontId="1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/>
    </xf>
    <xf numFmtId="0" fontId="0" fillId="0" borderId="2" xfId="0" applyFill="1" applyBorder="1"/>
    <xf numFmtId="2" fontId="0" fillId="0" borderId="2" xfId="0" applyNumberFormat="1" applyFill="1" applyBorder="1"/>
    <xf numFmtId="0" fontId="1" fillId="2" borderId="6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9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 /><Relationship Id="rId1" Type="http://schemas.openxmlformats.org/officeDocument/2006/relationships/vmlDrawing" Target="../drawings/vmlDrawing1.v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4"/>
  <sheetViews>
    <sheetView tabSelected="1" zoomScale="80" zoomScaleNormal="80" workbookViewId="0">
      <pane xSplit="1" topLeftCell="B1" activePane="topRight" state="frozen"/>
      <selection pane="topRight" activeCell="L9" sqref="L9"/>
    </sheetView>
  </sheetViews>
  <sheetFormatPr defaultRowHeight="15" x14ac:dyDescent="0.2"/>
  <cols>
    <col min="2" max="2" width="20.984375" customWidth="1"/>
    <col min="3" max="3" width="19.7734375" customWidth="1"/>
    <col min="4" max="4" width="14.52734375" customWidth="1"/>
    <col min="5" max="5" width="13.1796875" customWidth="1"/>
    <col min="6" max="7" width="11.1640625" customWidth="1"/>
    <col min="8" max="9" width="18.16015625" customWidth="1"/>
    <col min="10" max="11" width="17.484375" customWidth="1"/>
    <col min="12" max="12" width="18.16015625" customWidth="1"/>
    <col min="13" max="13" width="18.96484375" customWidth="1"/>
    <col min="14" max="14" width="18.16015625" style="12" customWidth="1"/>
    <col min="15" max="15" width="17.484375" customWidth="1"/>
    <col min="16" max="16" width="19.234375" customWidth="1"/>
    <col min="17" max="17" width="15.33203125" customWidth="1"/>
  </cols>
  <sheetData>
    <row r="1" spans="1:14" ht="52.5" customHeight="1" x14ac:dyDescent="0.2">
      <c r="A1" s="26" t="s">
        <v>8</v>
      </c>
      <c r="B1" s="28" t="s">
        <v>9</v>
      </c>
      <c r="C1" s="26" t="s">
        <v>10</v>
      </c>
      <c r="D1" s="26" t="s">
        <v>11</v>
      </c>
      <c r="E1" s="26" t="s">
        <v>12</v>
      </c>
      <c r="F1" s="26" t="s">
        <v>13</v>
      </c>
      <c r="G1" s="26" t="s">
        <v>14</v>
      </c>
      <c r="H1" s="26" t="s">
        <v>15</v>
      </c>
      <c r="I1" s="26" t="s">
        <v>66</v>
      </c>
      <c r="J1" s="26" t="s">
        <v>16</v>
      </c>
      <c r="K1" s="30" t="s">
        <v>71</v>
      </c>
      <c r="L1" s="32" t="s">
        <v>65</v>
      </c>
      <c r="M1" s="34">
        <v>0.03</v>
      </c>
      <c r="N1" s="25" t="s">
        <v>70</v>
      </c>
    </row>
    <row r="2" spans="1:14" ht="29.65" customHeight="1" x14ac:dyDescent="0.2">
      <c r="A2" s="27"/>
      <c r="B2" s="29"/>
      <c r="C2" s="27"/>
      <c r="D2" s="27"/>
      <c r="E2" s="27"/>
      <c r="F2" s="27"/>
      <c r="G2" s="27"/>
      <c r="H2" s="27"/>
      <c r="I2" s="27"/>
      <c r="J2" s="27"/>
      <c r="K2" s="31"/>
      <c r="L2" s="33"/>
      <c r="M2" s="35"/>
      <c r="N2" s="25"/>
    </row>
    <row r="3" spans="1:14" ht="25.5" x14ac:dyDescent="0.2">
      <c r="A3" s="1">
        <v>1</v>
      </c>
      <c r="B3" s="5" t="s">
        <v>17</v>
      </c>
      <c r="C3" s="2" t="s">
        <v>18</v>
      </c>
      <c r="D3" s="2" t="s">
        <v>19</v>
      </c>
      <c r="E3" s="6">
        <v>25</v>
      </c>
      <c r="F3" s="1">
        <v>1.31</v>
      </c>
      <c r="G3" s="1" t="s">
        <v>20</v>
      </c>
      <c r="H3" s="2" t="s">
        <v>0</v>
      </c>
      <c r="I3" s="2" t="s">
        <v>72</v>
      </c>
      <c r="J3" s="1">
        <v>3</v>
      </c>
      <c r="K3" s="21">
        <v>0.1</v>
      </c>
      <c r="L3" s="21">
        <v>1.2</v>
      </c>
      <c r="M3" s="11">
        <f t="shared" ref="M3:M4" si="0">(L3-F3)*100/F3</f>
        <v>-8.3969465648855035</v>
      </c>
      <c r="N3" s="20">
        <f t="shared" ref="N3:N6" si="1">K3*100/F3</f>
        <v>7.6335877862595414</v>
      </c>
    </row>
    <row r="4" spans="1:14" ht="30" customHeight="1" x14ac:dyDescent="0.2">
      <c r="A4" s="3">
        <v>2</v>
      </c>
      <c r="B4" s="7" t="s">
        <v>21</v>
      </c>
      <c r="C4" s="4" t="s">
        <v>22</v>
      </c>
      <c r="D4" s="8" t="s">
        <v>23</v>
      </c>
      <c r="E4" s="9">
        <v>150</v>
      </c>
      <c r="F4" s="3">
        <v>0.28000000000000003</v>
      </c>
      <c r="G4" s="3">
        <v>350</v>
      </c>
      <c r="H4" s="4" t="s">
        <v>1</v>
      </c>
      <c r="I4" s="2" t="s">
        <v>72</v>
      </c>
      <c r="J4" s="3">
        <v>2</v>
      </c>
      <c r="K4" s="21">
        <v>0.1</v>
      </c>
      <c r="L4" s="21" t="s">
        <v>73</v>
      </c>
      <c r="M4" s="11" t="e">
        <f t="shared" si="0"/>
        <v>#VALUE!</v>
      </c>
      <c r="N4" s="20">
        <f t="shared" si="1"/>
        <v>35.714285714285708</v>
      </c>
    </row>
    <row r="5" spans="1:14" ht="25.5" x14ac:dyDescent="0.2">
      <c r="A5" s="3">
        <v>6</v>
      </c>
      <c r="B5" s="8" t="s">
        <v>24</v>
      </c>
      <c r="C5" s="4" t="s">
        <v>25</v>
      </c>
      <c r="D5" s="8" t="s">
        <v>26</v>
      </c>
      <c r="E5" s="9">
        <v>25</v>
      </c>
      <c r="F5" s="3">
        <v>3.95</v>
      </c>
      <c r="G5" s="3">
        <v>200</v>
      </c>
      <c r="H5" s="4" t="s">
        <v>2</v>
      </c>
      <c r="I5" s="2" t="s">
        <v>72</v>
      </c>
      <c r="J5" s="3">
        <v>1</v>
      </c>
      <c r="K5" s="21">
        <v>0.1</v>
      </c>
      <c r="L5" s="22">
        <v>4</v>
      </c>
      <c r="M5" s="11">
        <f>(L5-F5)*100/F5</f>
        <v>1.265822784810122</v>
      </c>
      <c r="N5" s="20">
        <f t="shared" si="1"/>
        <v>2.5316455696202529</v>
      </c>
    </row>
    <row r="6" spans="1:14" ht="25.5" x14ac:dyDescent="0.2">
      <c r="A6" s="3">
        <v>7</v>
      </c>
      <c r="B6" s="8" t="s">
        <v>27</v>
      </c>
      <c r="C6" s="4" t="s">
        <v>28</v>
      </c>
      <c r="D6" s="8" t="s">
        <v>29</v>
      </c>
      <c r="E6" s="9">
        <v>25</v>
      </c>
      <c r="F6" s="3">
        <v>3.95</v>
      </c>
      <c r="G6" s="3">
        <v>200</v>
      </c>
      <c r="H6" s="4" t="s">
        <v>2</v>
      </c>
      <c r="I6" s="2" t="s">
        <v>67</v>
      </c>
      <c r="J6" s="3">
        <v>1</v>
      </c>
      <c r="K6" s="22">
        <v>0.1</v>
      </c>
      <c r="L6" s="22">
        <v>4</v>
      </c>
      <c r="M6" s="11">
        <f>(L6-F6)*100/F6</f>
        <v>1.265822784810122</v>
      </c>
      <c r="N6" s="20">
        <f t="shared" si="1"/>
        <v>2.5316455696202529</v>
      </c>
    </row>
    <row r="7" spans="1:14" ht="25.5" x14ac:dyDescent="0.2">
      <c r="A7" s="14">
        <v>8</v>
      </c>
      <c r="B7" s="15" t="s">
        <v>30</v>
      </c>
      <c r="C7" s="16" t="s">
        <v>31</v>
      </c>
      <c r="D7" s="15" t="s">
        <v>32</v>
      </c>
      <c r="E7" s="17">
        <v>100</v>
      </c>
      <c r="F7" s="14">
        <v>2.09</v>
      </c>
      <c r="G7" s="14">
        <v>215</v>
      </c>
      <c r="H7" s="16" t="s">
        <v>1</v>
      </c>
      <c r="I7" s="16" t="s">
        <v>67</v>
      </c>
      <c r="J7" s="14">
        <v>1</v>
      </c>
      <c r="K7" s="22">
        <v>0.1</v>
      </c>
      <c r="L7" s="22">
        <v>2.2000000000000002</v>
      </c>
      <c r="M7" s="19">
        <f>(L7-F7)*100/F7</f>
        <v>5.2631578947368576</v>
      </c>
      <c r="N7" s="20">
        <f>K7*100/F7</f>
        <v>4.7846889952153111</v>
      </c>
    </row>
    <row r="8" spans="1:14" ht="25.5" x14ac:dyDescent="0.2">
      <c r="A8" s="14">
        <v>9</v>
      </c>
      <c r="B8" s="15" t="s">
        <v>33</v>
      </c>
      <c r="C8" s="16" t="s">
        <v>34</v>
      </c>
      <c r="D8" s="15" t="s">
        <v>35</v>
      </c>
      <c r="E8" s="17">
        <v>100</v>
      </c>
      <c r="F8" s="14">
        <v>0.59</v>
      </c>
      <c r="G8" s="14">
        <v>350</v>
      </c>
      <c r="H8" s="16" t="s">
        <v>1</v>
      </c>
      <c r="I8" s="16" t="s">
        <v>67</v>
      </c>
      <c r="J8" s="14">
        <v>1</v>
      </c>
      <c r="K8" s="22">
        <v>0.1</v>
      </c>
      <c r="L8" s="22">
        <v>0.6</v>
      </c>
      <c r="M8" s="19">
        <f>(L8-F8)*100/F8</f>
        <v>1.6949152542372898</v>
      </c>
      <c r="N8" s="20">
        <f t="shared" ref="N8:N9" si="2">K8*100/F8</f>
        <v>16.949152542372882</v>
      </c>
    </row>
    <row r="9" spans="1:14" ht="32.450000000000003" customHeight="1" x14ac:dyDescent="0.2">
      <c r="A9" s="3">
        <v>10</v>
      </c>
      <c r="B9" s="8" t="s">
        <v>36</v>
      </c>
      <c r="C9" s="4" t="s">
        <v>37</v>
      </c>
      <c r="D9" s="8" t="s">
        <v>38</v>
      </c>
      <c r="E9" s="9">
        <v>25</v>
      </c>
      <c r="F9" s="3">
        <v>0.36749999999999999</v>
      </c>
      <c r="G9" s="3" t="s">
        <v>20</v>
      </c>
      <c r="H9" s="4" t="s">
        <v>0</v>
      </c>
      <c r="I9" s="4" t="s">
        <v>67</v>
      </c>
      <c r="J9" s="3">
        <v>2</v>
      </c>
      <c r="K9" s="22">
        <v>0.1</v>
      </c>
      <c r="L9" s="22" t="s">
        <v>74</v>
      </c>
      <c r="M9" s="19" t="e">
        <f t="shared" ref="M9:M12" si="3">(L9-F9)*100/F9</f>
        <v>#VALUE!</v>
      </c>
      <c r="N9" s="20">
        <f t="shared" si="2"/>
        <v>27.210884353741498</v>
      </c>
    </row>
    <row r="10" spans="1:14" ht="25.5" x14ac:dyDescent="0.2">
      <c r="A10" s="14">
        <v>12</v>
      </c>
      <c r="B10" s="15" t="s">
        <v>39</v>
      </c>
      <c r="C10" s="16" t="s">
        <v>40</v>
      </c>
      <c r="D10" s="15" t="s">
        <v>41</v>
      </c>
      <c r="E10" s="17">
        <v>100</v>
      </c>
      <c r="F10" s="14">
        <v>1.3</v>
      </c>
      <c r="G10" s="14" t="s">
        <v>42</v>
      </c>
      <c r="H10" s="16" t="s">
        <v>3</v>
      </c>
      <c r="I10" s="16" t="s">
        <v>67</v>
      </c>
      <c r="J10" s="14">
        <v>2</v>
      </c>
      <c r="K10" s="22">
        <v>0.1</v>
      </c>
      <c r="L10" s="22">
        <v>1.25</v>
      </c>
      <c r="M10" s="19">
        <f t="shared" si="3"/>
        <v>-3.8461538461538494</v>
      </c>
      <c r="N10" s="13">
        <f>K10*100/F10</f>
        <v>7.6923076923076916</v>
      </c>
    </row>
    <row r="11" spans="1:14" ht="25.5" x14ac:dyDescent="0.2">
      <c r="A11" s="14">
        <v>13</v>
      </c>
      <c r="B11" s="15" t="s">
        <v>43</v>
      </c>
      <c r="C11" s="16" t="s">
        <v>44</v>
      </c>
      <c r="D11" s="15" t="s">
        <v>41</v>
      </c>
      <c r="E11" s="17">
        <v>100</v>
      </c>
      <c r="F11" s="23">
        <v>0.7</v>
      </c>
      <c r="G11" s="14" t="s">
        <v>45</v>
      </c>
      <c r="H11" s="16" t="s">
        <v>4</v>
      </c>
      <c r="I11" s="16" t="s">
        <v>67</v>
      </c>
      <c r="J11" s="14">
        <v>2</v>
      </c>
      <c r="K11" s="22">
        <v>0.1</v>
      </c>
      <c r="L11" s="24">
        <v>1.25</v>
      </c>
      <c r="M11" s="19">
        <f t="shared" si="3"/>
        <v>78.571428571428584</v>
      </c>
      <c r="N11" s="13">
        <f t="shared" ref="N11:N18" si="4">K11*100/F11</f>
        <v>14.285714285714286</v>
      </c>
    </row>
    <row r="12" spans="1:14" ht="25.5" x14ac:dyDescent="0.2">
      <c r="A12" s="14">
        <v>14</v>
      </c>
      <c r="B12" s="15" t="s">
        <v>46</v>
      </c>
      <c r="C12" s="16" t="s">
        <v>47</v>
      </c>
      <c r="D12" s="15" t="s">
        <v>48</v>
      </c>
      <c r="E12" s="17">
        <v>100</v>
      </c>
      <c r="F12" s="14">
        <v>0.5</v>
      </c>
      <c r="G12" s="14">
        <v>350</v>
      </c>
      <c r="H12" s="16" t="s">
        <v>5</v>
      </c>
      <c r="I12" s="16" t="s">
        <v>67</v>
      </c>
      <c r="J12" s="14">
        <v>1</v>
      </c>
      <c r="K12" s="22">
        <v>0.1</v>
      </c>
      <c r="L12" s="22">
        <v>0.6</v>
      </c>
      <c r="M12" s="19">
        <f>(L12-F12)*100/F12</f>
        <v>19.999999999999996</v>
      </c>
      <c r="N12" s="13">
        <f t="shared" si="4"/>
        <v>20</v>
      </c>
    </row>
    <row r="13" spans="1:14" ht="25.5" x14ac:dyDescent="0.2">
      <c r="A13" s="14">
        <v>15</v>
      </c>
      <c r="B13" s="18" t="s">
        <v>49</v>
      </c>
      <c r="C13" s="16" t="s">
        <v>50</v>
      </c>
      <c r="D13" s="15" t="s">
        <v>48</v>
      </c>
      <c r="E13" s="17">
        <v>25</v>
      </c>
      <c r="F13" s="14">
        <v>3.95</v>
      </c>
      <c r="G13" s="14">
        <v>200</v>
      </c>
      <c r="H13" s="16" t="s">
        <v>6</v>
      </c>
      <c r="I13" s="16" t="s">
        <v>67</v>
      </c>
      <c r="J13" s="14">
        <v>1</v>
      </c>
      <c r="K13" s="22">
        <v>0.1</v>
      </c>
      <c r="L13" s="22">
        <v>4</v>
      </c>
      <c r="M13" s="19">
        <f>(L13-F13)*100/F13</f>
        <v>1.265822784810122</v>
      </c>
      <c r="N13" s="13">
        <f t="shared" si="4"/>
        <v>2.5316455696202529</v>
      </c>
    </row>
    <row r="14" spans="1:14" ht="25.5" x14ac:dyDescent="0.2">
      <c r="A14" s="14">
        <v>16</v>
      </c>
      <c r="B14" s="15" t="s">
        <v>51</v>
      </c>
      <c r="C14" s="16" t="s">
        <v>52</v>
      </c>
      <c r="D14" s="15" t="s">
        <v>53</v>
      </c>
      <c r="E14" s="17">
        <v>100</v>
      </c>
      <c r="F14" s="14">
        <v>4.5599999999999996</v>
      </c>
      <c r="G14" s="14">
        <v>258.3</v>
      </c>
      <c r="H14" s="16" t="s">
        <v>5</v>
      </c>
      <c r="I14" s="16" t="s">
        <v>67</v>
      </c>
      <c r="J14" s="14">
        <v>1</v>
      </c>
      <c r="K14" s="22">
        <v>0.1</v>
      </c>
      <c r="L14" s="22">
        <v>4.8</v>
      </c>
      <c r="M14" s="19">
        <f>(L14-F14)*100/F14</f>
        <v>5.2631578947368469</v>
      </c>
      <c r="N14" s="13">
        <f t="shared" si="4"/>
        <v>2.192982456140351</v>
      </c>
    </row>
    <row r="15" spans="1:14" ht="25.5" x14ac:dyDescent="0.2">
      <c r="A15" s="14">
        <v>17</v>
      </c>
      <c r="B15" s="18" t="s">
        <v>54</v>
      </c>
      <c r="C15" s="16" t="s">
        <v>55</v>
      </c>
      <c r="D15" s="15" t="s">
        <v>69</v>
      </c>
      <c r="E15" s="17">
        <v>100</v>
      </c>
      <c r="F15" s="14">
        <v>7.3150000000000004</v>
      </c>
      <c r="G15" s="14">
        <v>289</v>
      </c>
      <c r="H15" s="16" t="s">
        <v>5</v>
      </c>
      <c r="I15" s="16" t="s">
        <v>67</v>
      </c>
      <c r="J15" s="14">
        <v>1</v>
      </c>
      <c r="K15" s="22">
        <v>0.1</v>
      </c>
      <c r="L15" s="22">
        <v>7.7</v>
      </c>
      <c r="M15" s="19">
        <f>(L15-F15)*100/F15</f>
        <v>5.2631578947368389</v>
      </c>
      <c r="N15" s="13">
        <f t="shared" si="4"/>
        <v>1.367053998632946</v>
      </c>
    </row>
    <row r="16" spans="1:14" ht="25.5" x14ac:dyDescent="0.2">
      <c r="A16" s="3">
        <v>18</v>
      </c>
      <c r="B16" s="8" t="s">
        <v>56</v>
      </c>
      <c r="C16" s="4" t="s">
        <v>57</v>
      </c>
      <c r="D16" s="8" t="s">
        <v>58</v>
      </c>
      <c r="E16" s="9" t="s">
        <v>59</v>
      </c>
      <c r="F16" s="3">
        <v>1.68</v>
      </c>
      <c r="G16" s="3">
        <v>350</v>
      </c>
      <c r="H16" s="4" t="s">
        <v>5</v>
      </c>
      <c r="I16" s="16" t="s">
        <v>67</v>
      </c>
      <c r="J16" s="3">
        <v>1</v>
      </c>
      <c r="K16" s="22">
        <v>0.1</v>
      </c>
      <c r="L16" s="22">
        <v>1.7</v>
      </c>
      <c r="M16" s="19">
        <f t="shared" ref="M16:M18" si="5">(L16-F16)*100/F16</f>
        <v>1.1904761904761916</v>
      </c>
      <c r="N16" s="13">
        <f t="shared" si="4"/>
        <v>5.9523809523809526</v>
      </c>
    </row>
    <row r="17" spans="1:16" ht="25.5" x14ac:dyDescent="0.2">
      <c r="A17" s="3">
        <v>19</v>
      </c>
      <c r="B17" s="8" t="s">
        <v>60</v>
      </c>
      <c r="C17" s="4" t="s">
        <v>57</v>
      </c>
      <c r="D17" s="8" t="s">
        <v>61</v>
      </c>
      <c r="E17" s="9" t="s">
        <v>62</v>
      </c>
      <c r="F17" s="3">
        <v>1.17</v>
      </c>
      <c r="G17" s="3">
        <v>350</v>
      </c>
      <c r="H17" s="4" t="s">
        <v>5</v>
      </c>
      <c r="I17" s="16" t="s">
        <v>67</v>
      </c>
      <c r="J17" s="3">
        <v>4</v>
      </c>
      <c r="K17" s="22">
        <v>0.1</v>
      </c>
      <c r="L17" s="22">
        <v>1.2</v>
      </c>
      <c r="M17" s="19">
        <f t="shared" si="5"/>
        <v>2.5641025641025665</v>
      </c>
      <c r="N17" s="13">
        <f t="shared" si="4"/>
        <v>8.5470085470085468</v>
      </c>
    </row>
    <row r="18" spans="1:16" ht="36" customHeight="1" x14ac:dyDescent="0.2">
      <c r="A18" s="3">
        <v>20</v>
      </c>
      <c r="B18" s="8" t="s">
        <v>63</v>
      </c>
      <c r="C18" s="10"/>
      <c r="D18" s="8" t="s">
        <v>64</v>
      </c>
      <c r="E18" s="9">
        <v>20</v>
      </c>
      <c r="F18" s="3">
        <v>26.13</v>
      </c>
      <c r="G18" s="3">
        <v>572</v>
      </c>
      <c r="H18" s="4" t="s">
        <v>7</v>
      </c>
      <c r="I18" s="4" t="s">
        <v>67</v>
      </c>
      <c r="J18" s="3">
        <v>1</v>
      </c>
      <c r="K18" s="22">
        <v>0.1</v>
      </c>
      <c r="L18" s="22">
        <v>27.5</v>
      </c>
      <c r="M18" s="19">
        <f t="shared" si="5"/>
        <v>5.2430156907768897</v>
      </c>
      <c r="N18" s="13">
        <f t="shared" si="4"/>
        <v>0.38270187523918869</v>
      </c>
    </row>
    <row r="24" spans="1:16" x14ac:dyDescent="0.2">
      <c r="P24" t="s">
        <v>68</v>
      </c>
    </row>
  </sheetData>
  <mergeCells count="14">
    <mergeCell ref="N1:N2"/>
    <mergeCell ref="A1:A2"/>
    <mergeCell ref="B1:B2"/>
    <mergeCell ref="C1:C2"/>
    <mergeCell ref="D1:D2"/>
    <mergeCell ref="E1:E2"/>
    <mergeCell ref="H1:H2"/>
    <mergeCell ref="F1:F2"/>
    <mergeCell ref="G1:G2"/>
    <mergeCell ref="I1:I2"/>
    <mergeCell ref="K1:K2"/>
    <mergeCell ref="J1:J2"/>
    <mergeCell ref="L1:L2"/>
    <mergeCell ref="M1:M2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Thilina Wishvajith</dc:creator>
  <cp:lastModifiedBy>isuru sasanga</cp:lastModifiedBy>
  <dcterms:created xsi:type="dcterms:W3CDTF">2015-06-05T18:17:20Z</dcterms:created>
  <dcterms:modified xsi:type="dcterms:W3CDTF">2025-10-21T03:33:45Z</dcterms:modified>
</cp:coreProperties>
</file>